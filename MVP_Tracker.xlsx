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VP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532cd8"/>
        <bgColor rgb="00532cd8"/>
      </patternFill>
    </fill>
    <fill>
      <patternFill patternType="solid">
        <fgColor rgb="00d1fae5"/>
        <bgColor rgb="00d1fae5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4" customWidth="1" min="4" max="4"/>
    <col width="40" customWidth="1" min="5" max="5"/>
    <col width="12" customWidth="1" min="6" max="6"/>
  </cols>
  <sheetData>
    <row r="1" ht="36" customHeight="1">
      <c r="A1" s="1" t="inlineStr">
        <is>
          <t>Tender Smiles Healthcare Staffing — MVP Tracker</t>
        </is>
      </c>
    </row>
    <row r="2" ht="20" customHeight="1">
      <c r="A2" s="2" t="inlineStr">
        <is>
          <t>Last updated: 16 April 2026</t>
        </is>
      </c>
    </row>
    <row r="3" ht="8" customHeight="1"/>
    <row r="4" ht="22" customHeight="1">
      <c r="A4" s="3" t="inlineStr">
        <is>
          <t>#</t>
        </is>
      </c>
      <c r="B4" s="3" t="inlineStr">
        <is>
          <t>Area</t>
        </is>
      </c>
      <c r="C4" s="3" t="inlineStr">
        <is>
          <t>Task / Item</t>
        </is>
      </c>
      <c r="D4" s="3" t="inlineStr">
        <is>
          <t>Status</t>
        </is>
      </c>
      <c r="E4" s="3" t="inlineStr">
        <is>
          <t>Notes</t>
        </is>
      </c>
      <c r="F4" s="3" t="inlineStr">
        <is>
          <t>Priority</t>
        </is>
      </c>
    </row>
    <row r="5" ht="18" customHeight="1">
      <c r="A5" s="4" t="n">
        <v>1</v>
      </c>
      <c r="B5" s="5" t="inlineStr">
        <is>
          <t>Landing Page</t>
        </is>
      </c>
      <c r="C5" s="5" t="inlineStr">
        <is>
          <t>Navbar (logo, nav links, phone, CTA)</t>
        </is>
      </c>
      <c r="D5" s="4" t="inlineStr">
        <is>
          <t>✅ Done</t>
        </is>
      </c>
      <c r="E5" s="5" t="inlineStr">
        <is>
          <t>Fully built and responsive</t>
        </is>
      </c>
      <c r="F5" s="4" t="inlineStr">
        <is>
          <t>Medium</t>
        </is>
      </c>
    </row>
    <row r="6" ht="18" customHeight="1">
      <c r="A6" s="4" t="n">
        <v>2</v>
      </c>
      <c r="B6" s="5" t="inlineStr">
        <is>
          <t>Landing Page</t>
        </is>
      </c>
      <c r="C6" s="5" t="inlineStr">
        <is>
          <t>Hero section (headline, image, CTAs)</t>
        </is>
      </c>
      <c r="D6" s="4" t="inlineStr">
        <is>
          <t>✅ Done</t>
        </is>
      </c>
      <c r="E6" s="5" t="inlineStr">
        <is>
          <t>Stock image from Unsplash</t>
        </is>
      </c>
      <c r="F6" s="4" t="inlineStr">
        <is>
          <t>Medium</t>
        </is>
      </c>
    </row>
    <row r="7" ht="18" customHeight="1">
      <c r="A7" s="4" t="n">
        <v>3</v>
      </c>
      <c r="B7" s="5" t="inlineStr">
        <is>
          <t>Landing Page</t>
        </is>
      </c>
      <c r="C7" s="5" t="inlineStr">
        <is>
          <t>Stats bar (24/7, 100% screened, &lt;24h)</t>
        </is>
      </c>
      <c r="D7" s="4" t="inlineStr">
        <is>
          <t>✅ Done</t>
        </is>
      </c>
      <c r="E7" s="5" t="inlineStr">
        <is>
          <t>Static values</t>
        </is>
      </c>
      <c r="F7" s="4" t="inlineStr">
        <is>
          <t>Low</t>
        </is>
      </c>
    </row>
    <row r="8" ht="18" customHeight="1">
      <c r="A8" s="4" t="n">
        <v>4</v>
      </c>
      <c r="B8" s="5" t="inlineStr">
        <is>
          <t>Landing Page</t>
        </is>
      </c>
      <c r="C8" s="5" t="inlineStr">
        <is>
          <t>About section (text + image)</t>
        </is>
      </c>
      <c r="D8" s="4" t="inlineStr">
        <is>
          <t>✅ Done</t>
        </is>
      </c>
      <c r="E8" s="5" t="inlineStr">
        <is>
          <t>Copy and image in place</t>
        </is>
      </c>
      <c r="F8" s="4" t="inlineStr">
        <is>
          <t>Low</t>
        </is>
      </c>
    </row>
    <row r="9" ht="18" customHeight="1">
      <c r="A9" s="4" t="n">
        <v>5</v>
      </c>
      <c r="B9" s="5" t="inlineStr">
        <is>
          <t>Landing Page</t>
        </is>
      </c>
      <c r="C9" s="5" t="inlineStr">
        <is>
          <t>Services section (4 service cards)</t>
        </is>
      </c>
      <c r="D9" s="4" t="inlineStr">
        <is>
          <t>✅ Done</t>
        </is>
      </c>
      <c r="E9" s="5" t="inlineStr">
        <is>
          <t>Temporary, Direct Hire, Per Diem, Locum Tenens</t>
        </is>
      </c>
      <c r="F9" s="4" t="inlineStr">
        <is>
          <t>Low</t>
        </is>
      </c>
    </row>
    <row r="10" ht="18" customHeight="1">
      <c r="A10" s="4" t="n">
        <v>6</v>
      </c>
      <c r="B10" s="5" t="inlineStr">
        <is>
          <t>Landing Page</t>
        </is>
      </c>
      <c r="C10" s="5" t="inlineStr">
        <is>
          <t>Why Choose Us section</t>
        </is>
      </c>
      <c r="D10" s="4" t="inlineStr">
        <is>
          <t>✅ Done</t>
        </is>
      </c>
      <c r="E10" s="5" t="inlineStr">
        <is>
          <t>3 feature cards + mission/vision</t>
        </is>
      </c>
      <c r="F10" s="4" t="inlineStr">
        <is>
          <t>Low</t>
        </is>
      </c>
    </row>
    <row r="11" ht="18" customHeight="1">
      <c r="A11" s="4" t="n">
        <v>7</v>
      </c>
      <c r="B11" s="5" t="inlineStr">
        <is>
          <t>Landing Page</t>
        </is>
      </c>
      <c r="C11" s="5" t="inlineStr">
        <is>
          <t>Contact bar (phone, email, address)</t>
        </is>
      </c>
      <c r="D11" s="4" t="inlineStr">
        <is>
          <t>✅ Done</t>
        </is>
      </c>
      <c r="E11" s="5" t="inlineStr">
        <is>
          <t>Real contact details in code</t>
        </is>
      </c>
      <c r="F11" s="4" t="inlineStr">
        <is>
          <t>Low</t>
        </is>
      </c>
    </row>
    <row r="12" ht="18" customHeight="1">
      <c r="A12" s="4" t="n">
        <v>8</v>
      </c>
      <c r="B12" s="5" t="inlineStr">
        <is>
          <t>Landing Page</t>
        </is>
      </c>
      <c r="C12" s="5" t="inlineStr">
        <is>
          <t>Footer with links</t>
        </is>
      </c>
      <c r="D12" s="4" t="inlineStr">
        <is>
          <t>✅ Done</t>
        </is>
      </c>
      <c r="E12" s="5" t="inlineStr">
        <is>
          <t>Copyright year says 2024 — needs updating</t>
        </is>
      </c>
      <c r="F12" s="4" t="inlineStr">
        <is>
          <t>Low</t>
        </is>
      </c>
    </row>
    <row r="13" ht="18" customHeight="1">
      <c r="A13" s="4" t="n">
        <v>9</v>
      </c>
      <c r="B13" s="5" t="inlineStr">
        <is>
          <t>Form — Apply</t>
        </is>
      </c>
      <c r="C13" s="5" t="inlineStr">
        <is>
          <t>Form UI (name, email, phone, message)</t>
        </is>
      </c>
      <c r="D13" s="4" t="inlineStr">
        <is>
          <t>✅ Done</t>
        </is>
      </c>
      <c r="E13" s="5" t="inlineStr">
        <is>
          <t>Styled, responsive</t>
        </is>
      </c>
      <c r="F13" s="4" t="inlineStr">
        <is>
          <t>Medium</t>
        </is>
      </c>
    </row>
    <row r="14" ht="18" customHeight="1">
      <c r="A14" s="4" t="n">
        <v>10</v>
      </c>
      <c r="B14" s="5" t="inlineStr">
        <is>
          <t>Form — Apply</t>
        </is>
      </c>
      <c r="C14" s="5" t="inlineStr">
        <is>
          <t>CV file upload (PDF/DOC/DOCX, max 10MB)</t>
        </is>
      </c>
      <c r="D14" s="4" t="inlineStr">
        <is>
          <t>✅ Done</t>
        </is>
      </c>
      <c r="E14" s="5" t="inlineStr">
        <is>
          <t>Drag-style button, file preview</t>
        </is>
      </c>
      <c r="F14" s="4" t="inlineStr">
        <is>
          <t>Medium</t>
        </is>
      </c>
    </row>
    <row r="15" ht="18" customHeight="1">
      <c r="A15" s="4" t="n">
        <v>11</v>
      </c>
      <c r="B15" s="5" t="inlineStr">
        <is>
          <t>Form — Apply</t>
        </is>
      </c>
      <c r="C15" s="5" t="inlineStr">
        <is>
          <t>Client-side validation + inline errors</t>
        </is>
      </c>
      <c r="D15" s="4" t="inlineStr">
        <is>
          <t>✅ Done</t>
        </is>
      </c>
      <c r="E15" s="5" t="inlineStr">
        <is>
          <t>All fields validated on submit &amp; blur</t>
        </is>
      </c>
      <c r="F15" s="4" t="inlineStr">
        <is>
          <t>Medium</t>
        </is>
      </c>
    </row>
    <row r="16" ht="18" customHeight="1">
      <c r="A16" s="4" t="n">
        <v>12</v>
      </c>
      <c r="B16" s="5" t="inlineStr">
        <is>
          <t>Form — Apply</t>
        </is>
      </c>
      <c r="C16" s="5" t="inlineStr">
        <is>
          <t>Loading / success / error states</t>
        </is>
      </c>
      <c r="D16" s="4" t="inlineStr">
        <is>
          <t>✅ Done</t>
        </is>
      </c>
      <c r="E16" s="5" t="inlineStr">
        <is>
          <t>Spinner, success card, error banner</t>
        </is>
      </c>
      <c r="F16" s="4" t="inlineStr">
        <is>
          <t>Medium</t>
        </is>
      </c>
    </row>
    <row r="17" ht="18" customHeight="1">
      <c r="A17" s="4" t="n">
        <v>13</v>
      </c>
      <c r="B17" s="5" t="inlineStr">
        <is>
          <t>Form — Find Staff</t>
        </is>
      </c>
      <c r="C17" s="5" t="inlineStr">
        <is>
          <t>Form UI (org, contact, role, headcount, date)</t>
        </is>
      </c>
      <c r="D17" s="4" t="inlineStr">
        <is>
          <t>✅ Done</t>
        </is>
      </c>
      <c r="E17" s="5" t="inlineStr">
        <is>
          <t>All fields built</t>
        </is>
      </c>
      <c r="F17" s="4" t="inlineStr">
        <is>
          <t>Medium</t>
        </is>
      </c>
    </row>
    <row r="18" ht="18" customHeight="1">
      <c r="A18" s="4" t="n">
        <v>14</v>
      </c>
      <c r="B18" s="5" t="inlineStr">
        <is>
          <t>Form — Find Staff</t>
        </is>
      </c>
      <c r="C18" s="5" t="inlineStr">
        <is>
          <t>Client-side validation + inline errors</t>
        </is>
      </c>
      <c r="D18" s="4" t="inlineStr">
        <is>
          <t>✅ Done</t>
        </is>
      </c>
      <c r="E18" s="5" t="inlineStr">
        <is>
          <t>Required fields validated</t>
        </is>
      </c>
      <c r="F18" s="4" t="inlineStr">
        <is>
          <t>Medium</t>
        </is>
      </c>
    </row>
    <row r="19" ht="18" customHeight="1">
      <c r="A19" s="4" t="n">
        <v>15</v>
      </c>
      <c r="B19" s="5" t="inlineStr">
        <is>
          <t>Form — Find Staff</t>
        </is>
      </c>
      <c r="C19" s="5" t="inlineStr">
        <is>
          <t>Loading / success / error states</t>
        </is>
      </c>
      <c r="D19" s="4" t="inlineStr">
        <is>
          <t>✅ Done</t>
        </is>
      </c>
      <c r="E19" s="5" t="inlineStr">
        <is>
          <t>Same pattern as apply form</t>
        </is>
      </c>
      <c r="F19" s="4" t="inlineStr">
        <is>
          <t>Medium</t>
        </is>
      </c>
    </row>
    <row r="20" ht="18" customHeight="1">
      <c r="A20" s="4" t="n">
        <v>16</v>
      </c>
      <c r="B20" s="5" t="inlineStr">
        <is>
          <t>Backend</t>
        </is>
      </c>
      <c r="C20" s="5" t="inlineStr">
        <is>
          <t>Express server with /api/apply endpoint</t>
        </is>
      </c>
      <c r="D20" s="4" t="inlineStr">
        <is>
          <t>✅ Done</t>
        </is>
      </c>
      <c r="E20" s="5" t="inlineStr">
        <is>
          <t>Accepts multipart form + CV attachment</t>
        </is>
      </c>
      <c r="F20" s="4" t="inlineStr">
        <is>
          <t>High</t>
        </is>
      </c>
    </row>
    <row r="21" ht="18" customHeight="1">
      <c r="A21" s="4" t="n">
        <v>17</v>
      </c>
      <c r="B21" s="5" t="inlineStr">
        <is>
          <t>Backend</t>
        </is>
      </c>
      <c r="C21" s="5" t="inlineStr">
        <is>
          <t>Express server with /api/request-staff endpoint</t>
        </is>
      </c>
      <c r="D21" s="4" t="inlineStr">
        <is>
          <t>✅ Done</t>
        </is>
      </c>
      <c r="E21" s="5" t="inlineStr">
        <is>
          <t>Sends JSON email to recipient</t>
        </is>
      </c>
      <c r="F21" s="4" t="inlineStr">
        <is>
          <t>High</t>
        </is>
      </c>
    </row>
    <row r="22" ht="18" customHeight="1">
      <c r="A22" s="4" t="n">
        <v>18</v>
      </c>
      <c r="B22" s="5" t="inlineStr">
        <is>
          <t>Backend</t>
        </is>
      </c>
      <c r="C22" s="5" t="inlineStr">
        <is>
          <t>Multer file handling (CV attachment)</t>
        </is>
      </c>
      <c r="D22" s="4" t="inlineStr">
        <is>
          <t>✅ Done</t>
        </is>
      </c>
      <c r="E22" s="5" t="inlineStr">
        <is>
          <t>Stores in memory, attaches to email</t>
        </is>
      </c>
      <c r="F22" s="4" t="inlineStr">
        <is>
          <t>High</t>
        </is>
      </c>
    </row>
    <row r="23" ht="18" customHeight="1">
      <c r="A23" s="4" t="n">
        <v>19</v>
      </c>
      <c r="B23" s="5" t="inlineStr">
        <is>
          <t>Backend</t>
        </is>
      </c>
      <c r="C23" s="5" t="inlineStr">
        <is>
          <t>Nodemailer email sending logic</t>
        </is>
      </c>
      <c r="D23" s="4" t="inlineStr">
        <is>
          <t>✅ Done</t>
        </is>
      </c>
      <c r="E23" s="5" t="inlineStr">
        <is>
          <t>Both endpoints wired up</t>
        </is>
      </c>
      <c r="F23" s="4" t="inlineStr">
        <is>
          <t>High</t>
        </is>
      </c>
    </row>
    <row r="24" ht="18" customHeight="1">
      <c r="A24" s="6" t="n">
        <v>20</v>
      </c>
      <c r="B24" s="7" t="inlineStr">
        <is>
          <t>Backend</t>
        </is>
      </c>
      <c r="C24" s="7" t="inlineStr">
        <is>
          <t>SMTP credentials in .env file</t>
        </is>
      </c>
      <c r="D24" s="6" t="inlineStr">
        <is>
          <t>🔧 Needs Config</t>
        </is>
      </c>
      <c r="E24" s="7" t="inlineStr">
        <is>
          <t>.env exists but has placeholder values — must fill in real host, user, password</t>
        </is>
      </c>
      <c r="F24" s="6" t="inlineStr">
        <is>
          <t>Critical</t>
        </is>
      </c>
    </row>
    <row r="25" ht="18" customHeight="1">
      <c r="A25" s="6" t="n">
        <v>21</v>
      </c>
      <c r="B25" s="7" t="inlineStr">
        <is>
          <t>Backend</t>
        </is>
      </c>
      <c r="C25" s="7" t="inlineStr">
        <is>
          <t>RECIPIENT_EMAIL in .env</t>
        </is>
      </c>
      <c r="D25" s="6" t="inlineStr">
        <is>
          <t>🔧 Needs Config</t>
        </is>
      </c>
      <c r="E25" s="7" t="inlineStr">
        <is>
          <t>Set to "hiring@yourdomain.com" — must be customer's real inbox</t>
        </is>
      </c>
      <c r="F25" s="6" t="inlineStr">
        <is>
          <t>Critical</t>
        </is>
      </c>
    </row>
    <row r="26" ht="18" customHeight="1">
      <c r="A26" s="8" t="n">
        <v>22</v>
      </c>
      <c r="B26" s="9" t="inlineStr">
        <is>
          <t>Backend</t>
        </is>
      </c>
      <c r="C26" s="9" t="inlineStr">
        <is>
          <t>Start the Express server before the site works</t>
        </is>
      </c>
      <c r="D26" s="8" t="inlineStr">
        <is>
          <t>⚠️ Partial</t>
        </is>
      </c>
      <c r="E26" s="9" t="inlineStr">
        <is>
          <t>Run "npm run server" in a second terminal — or add "concurrently" to run both at once</t>
        </is>
      </c>
      <c r="F26" s="8" t="inlineStr">
        <is>
          <t>Critical</t>
        </is>
      </c>
    </row>
    <row r="27" ht="18" customHeight="1">
      <c r="A27" s="8" t="n">
        <v>23</v>
      </c>
      <c r="B27" s="9" t="inlineStr">
        <is>
          <t>Backend</t>
        </is>
      </c>
      <c r="C27" s="9" t="inlineStr">
        <is>
          <t>CORS origin hardcoded to localhost:5173</t>
        </is>
      </c>
      <c r="D27" s="8" t="inlineStr">
        <is>
          <t>⚠️ Partial</t>
        </is>
      </c>
      <c r="E27" s="9" t="inlineStr">
        <is>
          <t>Will break in production — must update to real domain before deploying</t>
        </is>
      </c>
      <c r="F27" s="8" t="inlineStr">
        <is>
          <t>High</t>
        </is>
      </c>
    </row>
    <row r="28" ht="18" customHeight="1">
      <c r="A28" s="8" t="n">
        <v>24</v>
      </c>
      <c r="B28" s="9" t="inlineStr">
        <is>
          <t>Frontend</t>
        </is>
      </c>
      <c r="C28" s="9" t="inlineStr">
        <is>
          <t>API URLs hardcoded to http://localhost:3001</t>
        </is>
      </c>
      <c r="D28" s="8" t="inlineStr">
        <is>
          <t>⚠️ Partial</t>
        </is>
      </c>
      <c r="E28" s="9" t="inlineStr">
        <is>
          <t>Two fetch() calls in App.jsx point to localhost — must change to real server URL for production</t>
        </is>
      </c>
      <c r="F28" s="8" t="inlineStr">
        <is>
          <t>High</t>
        </is>
      </c>
    </row>
    <row r="29" ht="18" customHeight="1">
      <c r="A29" s="10" t="n">
        <v>25</v>
      </c>
      <c r="B29" s="11" t="inlineStr">
        <is>
          <t>Deployment</t>
        </is>
      </c>
      <c r="C29" s="11" t="inlineStr">
        <is>
          <t>Choose and set up hosting for the frontend</t>
        </is>
      </c>
      <c r="D29" s="10" t="inlineStr">
        <is>
          <t>❌ Not Started</t>
        </is>
      </c>
      <c r="E29" s="11" t="inlineStr">
        <is>
          <t>Recommended: Vercel or Netlify (free)</t>
        </is>
      </c>
      <c r="F29" s="10" t="inlineStr">
        <is>
          <t>Critical</t>
        </is>
      </c>
    </row>
    <row r="30" ht="18" customHeight="1">
      <c r="A30" s="10" t="n">
        <v>26</v>
      </c>
      <c r="B30" s="11" t="inlineStr">
        <is>
          <t>Deployment</t>
        </is>
      </c>
      <c r="C30" s="11" t="inlineStr">
        <is>
          <t>Choose and set up hosting for the Express backend</t>
        </is>
      </c>
      <c r="D30" s="10" t="inlineStr">
        <is>
          <t>❌ Not Started</t>
        </is>
      </c>
      <c r="E30" s="11" t="inlineStr">
        <is>
          <t>Recommended: Render free tier or Railway (~$5/mo)</t>
        </is>
      </c>
      <c r="F30" s="10" t="inlineStr">
        <is>
          <t>Critical</t>
        </is>
      </c>
    </row>
    <row r="31" ht="18" customHeight="1">
      <c r="A31" s="10" t="n">
        <v>27</v>
      </c>
      <c r="B31" s="11" t="inlineStr">
        <is>
          <t>Deployment</t>
        </is>
      </c>
      <c r="C31" s="11" t="inlineStr">
        <is>
          <t>Buy and connect a domain name</t>
        </is>
      </c>
      <c r="D31" s="10" t="inlineStr">
        <is>
          <t>❌ Not Started</t>
        </is>
      </c>
      <c r="E31" s="11" t="inlineStr">
        <is>
          <t>Recommended: Namecheap (~$10–15/year)</t>
        </is>
      </c>
      <c r="F31" s="10" t="inlineStr">
        <is>
          <t>High</t>
        </is>
      </c>
    </row>
    <row r="32" ht="18" customHeight="1">
      <c r="A32" s="10" t="n">
        <v>28</v>
      </c>
      <c r="B32" s="11" t="inlineStr">
        <is>
          <t>Deployment</t>
        </is>
      </c>
      <c r="C32" s="11" t="inlineStr">
        <is>
          <t>Update CORS + API URLs for production domain</t>
        </is>
      </c>
      <c r="D32" s="10" t="inlineStr">
        <is>
          <t>❌ Not Started</t>
        </is>
      </c>
      <c r="E32" s="11" t="inlineStr">
        <is>
          <t>After hosting is chosen, update both files</t>
        </is>
      </c>
      <c r="F32" s="10" t="inlineStr">
        <is>
          <t>High</t>
        </is>
      </c>
    </row>
    <row r="33" ht="18" customHeight="1">
      <c r="A33" s="10" t="n">
        <v>29</v>
      </c>
      <c r="B33" s="11" t="inlineStr">
        <is>
          <t>Email</t>
        </is>
      </c>
      <c r="C33" s="11" t="inlineStr">
        <is>
          <t>Test end-to-end email delivery</t>
        </is>
      </c>
      <c r="D33" s="10" t="inlineStr">
        <is>
          <t>❌ Not Started</t>
        </is>
      </c>
      <c r="E33" s="11" t="inlineStr">
        <is>
          <t>Submit both forms, confirm emails arrive with CV attached</t>
        </is>
      </c>
      <c r="F33" s="10" t="inlineStr">
        <is>
          <t>Critical</t>
        </is>
      </c>
    </row>
    <row r="34" ht="18" customHeight="1">
      <c r="A34" s="10" t="n">
        <v>30</v>
      </c>
      <c r="B34" s="11" t="inlineStr">
        <is>
          <t>Polish</t>
        </is>
      </c>
      <c r="C34" s="11" t="inlineStr">
        <is>
          <t>Update footer copyright year from 2024 to 2025</t>
        </is>
      </c>
      <c r="D34" s="10" t="inlineStr">
        <is>
          <t>❌ Not Started</t>
        </is>
      </c>
      <c r="E34" s="11" t="inlineStr">
        <is>
          <t>Minor but looks unprofessional</t>
        </is>
      </c>
      <c r="F34" s="10" t="inlineStr">
        <is>
          <t>Low</t>
        </is>
      </c>
    </row>
    <row r="37" ht="18" customHeight="1">
      <c r="A37" s="3" t="inlineStr">
        <is>
          <t>Summary</t>
        </is>
      </c>
    </row>
    <row r="38" ht="16" customHeight="1">
      <c r="A38" s="12" t="inlineStr">
        <is>
          <t>Status</t>
        </is>
      </c>
      <c r="B38" s="12" t="inlineStr">
        <is>
          <t>Count</t>
        </is>
      </c>
    </row>
    <row r="39" ht="16" customHeight="1">
      <c r="A39" s="13" t="inlineStr">
        <is>
          <t>✅ Done</t>
        </is>
      </c>
      <c r="B39" s="14">
        <f>COUNTIF(D5:D34,"✅ Done")</f>
        <v/>
      </c>
    </row>
    <row r="40" ht="16" customHeight="1">
      <c r="A40" s="13" t="inlineStr">
        <is>
          <t>🔧 Needs Config</t>
        </is>
      </c>
      <c r="B40" s="14">
        <f>COUNTIF(D5:D34,"🔧 Needs Config")</f>
        <v/>
      </c>
    </row>
    <row r="41" ht="16" customHeight="1">
      <c r="A41" s="13" t="inlineStr">
        <is>
          <t>⚠️ Partial</t>
        </is>
      </c>
      <c r="B41" s="14">
        <f>COUNTIF(D5:D34,"⚠️ Partial")</f>
        <v/>
      </c>
    </row>
    <row r="42" ht="16" customHeight="1">
      <c r="A42" s="13" t="inlineStr">
        <is>
          <t>❌ Not Started</t>
        </is>
      </c>
      <c r="B42" s="14">
        <f>COUNTIF(D5:D34,"❌ Not Started")</f>
        <v/>
      </c>
    </row>
    <row r="43" ht="16" customHeight="1">
      <c r="A43" s="15" t="inlineStr">
        <is>
          <t>Total</t>
        </is>
      </c>
      <c r="B43" s="12">
        <f>SUM(B39:B42)</f>
        <v/>
      </c>
    </row>
  </sheetData>
  <mergeCells count="3">
    <mergeCell ref="A37:B37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2026-04-16T12:30:35Z</dcterms:created>
  <dcterms:modified xsi:type="dcterms:W3CDTF">2026-04-16T12:30:35Z</dcterms:modified>
</cp:coreProperties>
</file>